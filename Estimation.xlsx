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Tools\GitLab\MyFristProject\"/>
    </mc:Choice>
  </mc:AlternateContent>
  <xr:revisionPtr revIDLastSave="0" documentId="13_ncr:1_{30CDC301-0C60-4273-AC85-BAF38BCA00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8" i="1" l="1"/>
  <c r="K23" i="1"/>
  <c r="R23" i="1"/>
  <c r="R21" i="1"/>
  <c r="Q21" i="1"/>
  <c r="P21" i="1"/>
  <c r="F21" i="1"/>
  <c r="T9" i="1"/>
  <c r="T4" i="1"/>
  <c r="L15" i="1"/>
  <c r="M3" i="1"/>
  <c r="O3" i="1" s="1"/>
  <c r="K7" i="1"/>
  <c r="F12" i="1"/>
  <c r="F10" i="1"/>
  <c r="F8" i="1"/>
  <c r="F6" i="1"/>
  <c r="F4" i="1"/>
</calcChain>
</file>

<file path=xl/sharedStrings.xml><?xml version="1.0" encoding="utf-8"?>
<sst xmlns="http://schemas.openxmlformats.org/spreadsheetml/2006/main" count="34" uniqueCount="30">
  <si>
    <t xml:space="preserve">Eakaram </t>
  </si>
  <si>
    <t>1st Installmaent</t>
  </si>
  <si>
    <t>cash</t>
  </si>
  <si>
    <t>2nd Installment</t>
  </si>
  <si>
    <t>check</t>
  </si>
  <si>
    <t>3rd Installment</t>
  </si>
  <si>
    <t>1 st Installment</t>
  </si>
  <si>
    <t>manula madhu</t>
  </si>
  <si>
    <t xml:space="preserve">Glod load </t>
  </si>
  <si>
    <t>J Chandraiah</t>
  </si>
  <si>
    <t>Naveen</t>
  </si>
  <si>
    <t>Ramdevi</t>
  </si>
  <si>
    <t>sathish</t>
  </si>
  <si>
    <t>Glod loan</t>
  </si>
  <si>
    <t>Bank Loan</t>
  </si>
  <si>
    <t>srpt house loan</t>
  </si>
  <si>
    <t xml:space="preserve">New loan </t>
  </si>
  <si>
    <t>Cash</t>
  </si>
  <si>
    <t>A Glod</t>
  </si>
  <si>
    <t>M Venkanna</t>
  </si>
  <si>
    <t>M Sathish</t>
  </si>
  <si>
    <t>V Shankar</t>
  </si>
  <si>
    <t>B Mallaiah</t>
  </si>
  <si>
    <t>Barrow</t>
  </si>
  <si>
    <t>Font</t>
  </si>
  <si>
    <t>closed</t>
  </si>
  <si>
    <t>Bank loans</t>
  </si>
  <si>
    <t>Outside bank</t>
  </si>
  <si>
    <t>Bank cash</t>
  </si>
  <si>
    <t xml:space="preserve">outside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</si>
</sst>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3" fillId="0" borderId="0" xfId="0" applyFont="1"/>
    <xf numFmtId="0" fontId="3" fillId="0" borderId="1" xfId="0" applyFont="1" applyBorder="1"/>
    <xf numFmtId="0" fontId="2" fillId="0" borderId="0" xfId="0" applyFont="1"/>
    <xf numFmtId="0" fontId="0" fillId="2" borderId="1" xfId="0" applyFill="1" applyBorder="1"/>
    <xf numFmtId="0" fontId="0" fillId="4" borderId="1" xfId="0" applyFill="1" applyBorder="1"/>
    <xf numFmtId="0" fontId="4" fillId="4" borderId="1" xfId="0" applyFont="1" applyFill="1" applyBorder="1"/>
    <xf numFmtId="0" fontId="4" fillId="2" borderId="1" xfId="0" applyFont="1" applyFill="1" applyBorder="1"/>
    <xf numFmtId="0" fontId="0" fillId="2" borderId="0" xfId="0" applyFill="1"/>
    <xf numFmtId="0" fontId="0" fillId="4" borderId="0" xfId="0" applyFill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2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23"/>
  <sheetViews>
    <sheetView tabSelected="1" topLeftCell="A3" workbookViewId="0">
      <selection activeCell="M24" sqref="M24"/>
    </sheetView>
  </sheetViews>
  <sheetFormatPr defaultColWidth="9" defaultRowHeight="14.4"/>
  <cols>
    <col min="2" max="2" width="14.109375" bestFit="1" customWidth="1"/>
    <col min="3" max="3" width="5.6640625" bestFit="1" customWidth="1"/>
    <col min="10" max="10" width="13.5546875" bestFit="1" customWidth="1"/>
    <col min="12" max="12" width="11.33203125" bestFit="1" customWidth="1"/>
  </cols>
  <sheetData>
    <row r="2" spans="2:20">
      <c r="J2" s="1"/>
      <c r="K2" s="11" t="s">
        <v>6</v>
      </c>
      <c r="L2" s="11"/>
      <c r="M2" s="11"/>
      <c r="N2" s="1"/>
      <c r="O2" s="1"/>
    </row>
    <row r="3" spans="2:20">
      <c r="J3" s="1" t="s">
        <v>6</v>
      </c>
      <c r="K3" s="1"/>
      <c r="L3" s="1"/>
      <c r="M3" s="1">
        <f>M4+M5+M6+M7+M8</f>
        <v>700000</v>
      </c>
      <c r="N3" s="1">
        <v>700000</v>
      </c>
      <c r="O3" s="1">
        <f>N3-M3</f>
        <v>0</v>
      </c>
      <c r="R3" s="4" t="s">
        <v>19</v>
      </c>
      <c r="T3">
        <v>21000</v>
      </c>
    </row>
    <row r="4" spans="2:20">
      <c r="B4" s="1" t="s">
        <v>0</v>
      </c>
      <c r="C4" s="1"/>
      <c r="D4" s="1">
        <v>3200000</v>
      </c>
      <c r="E4" s="1"/>
      <c r="F4" s="1">
        <f>D4+E4</f>
        <v>3200000</v>
      </c>
      <c r="J4" s="3" t="s">
        <v>7</v>
      </c>
      <c r="K4" s="3">
        <v>100000</v>
      </c>
      <c r="L4" s="3" t="s">
        <v>9</v>
      </c>
      <c r="M4" s="3">
        <v>100000</v>
      </c>
      <c r="N4" s="1"/>
      <c r="O4" s="1"/>
      <c r="R4" s="4" t="s">
        <v>20</v>
      </c>
      <c r="T4">
        <f>(3620+650)</f>
        <v>4270</v>
      </c>
    </row>
    <row r="5" spans="2:20">
      <c r="B5" s="1"/>
      <c r="C5" s="1"/>
      <c r="D5" s="1"/>
      <c r="E5" s="1"/>
      <c r="F5" s="1"/>
      <c r="J5" s="6" t="s">
        <v>8</v>
      </c>
      <c r="K5" s="6">
        <v>200000</v>
      </c>
      <c r="L5" s="3" t="s">
        <v>10</v>
      </c>
      <c r="M5" s="3">
        <v>100000</v>
      </c>
      <c r="N5" s="1"/>
      <c r="O5" s="1"/>
      <c r="R5" s="4" t="s">
        <v>21</v>
      </c>
      <c r="T5">
        <v>6000</v>
      </c>
    </row>
    <row r="6" spans="2:20">
      <c r="B6" s="1" t="s">
        <v>1</v>
      </c>
      <c r="C6" s="1" t="s">
        <v>2</v>
      </c>
      <c r="D6" s="1">
        <v>300000</v>
      </c>
      <c r="E6" s="1">
        <v>700000</v>
      </c>
      <c r="F6" s="1">
        <f>D6+E6</f>
        <v>1000000</v>
      </c>
      <c r="J6" s="1"/>
      <c r="K6" s="1"/>
      <c r="L6" s="3" t="s">
        <v>11</v>
      </c>
      <c r="M6" s="3">
        <v>80000</v>
      </c>
      <c r="N6" s="1"/>
      <c r="O6" s="1"/>
      <c r="R6" s="4" t="s">
        <v>22</v>
      </c>
      <c r="T6">
        <v>50000</v>
      </c>
    </row>
    <row r="7" spans="2:20">
      <c r="B7" s="1"/>
      <c r="C7" s="1"/>
      <c r="D7" s="1"/>
      <c r="E7" s="1"/>
      <c r="F7" s="1"/>
      <c r="J7" s="1"/>
      <c r="K7" s="1">
        <f>K4+K5</f>
        <v>300000</v>
      </c>
      <c r="L7" s="5" t="s">
        <v>12</v>
      </c>
      <c r="M7" s="5">
        <v>130000</v>
      </c>
      <c r="N7" s="1"/>
      <c r="O7" s="1"/>
      <c r="T7">
        <v>20000</v>
      </c>
    </row>
    <row r="8" spans="2:20">
      <c r="B8" s="1" t="s">
        <v>3</v>
      </c>
      <c r="C8" s="1" t="s">
        <v>4</v>
      </c>
      <c r="D8" s="1">
        <v>1200000</v>
      </c>
      <c r="E8" s="1"/>
      <c r="F8" s="1">
        <f>D8+E8</f>
        <v>1200000</v>
      </c>
      <c r="J8" s="1"/>
      <c r="K8" s="1"/>
      <c r="L8" s="6" t="s">
        <v>13</v>
      </c>
      <c r="M8" s="6">
        <v>290000</v>
      </c>
      <c r="N8" s="1"/>
      <c r="O8" s="1"/>
    </row>
    <row r="9" spans="2:20">
      <c r="B9" s="1"/>
      <c r="C9" s="1"/>
      <c r="D9" s="1"/>
      <c r="E9" s="1"/>
      <c r="F9" s="1"/>
      <c r="T9">
        <f>SUM(T3:T8)</f>
        <v>101270</v>
      </c>
    </row>
    <row r="10" spans="2:20">
      <c r="B10" s="1" t="s">
        <v>5</v>
      </c>
      <c r="C10" s="1"/>
      <c r="D10" s="1">
        <v>300000</v>
      </c>
      <c r="E10" s="1">
        <v>700000</v>
      </c>
      <c r="F10" s="1">
        <f>D10+E10</f>
        <v>1000000</v>
      </c>
      <c r="J10" s="1"/>
      <c r="K10" s="12" t="s">
        <v>3</v>
      </c>
      <c r="L10" s="12"/>
      <c r="M10" s="12"/>
      <c r="N10" s="1"/>
      <c r="O10" s="1"/>
    </row>
    <row r="11" spans="2:20">
      <c r="B11" s="1"/>
      <c r="C11" s="1"/>
      <c r="D11" s="1"/>
      <c r="E11" s="1"/>
      <c r="F11" s="1"/>
      <c r="J11" s="1"/>
      <c r="K11" s="1"/>
      <c r="L11" s="1"/>
      <c r="M11" s="1"/>
      <c r="N11" s="1"/>
      <c r="O11" s="1"/>
    </row>
    <row r="12" spans="2:20">
      <c r="B12" s="1"/>
      <c r="C12" s="1"/>
      <c r="D12" s="1"/>
      <c r="E12" s="1"/>
      <c r="F12" s="1">
        <f>(F6+F8+F10)-F4</f>
        <v>0</v>
      </c>
      <c r="J12" s="1" t="s">
        <v>14</v>
      </c>
      <c r="K12" s="1"/>
      <c r="L12" s="1">
        <v>1200000</v>
      </c>
      <c r="M12" s="1"/>
      <c r="N12" s="1"/>
      <c r="O12" s="1"/>
      <c r="R12" s="4"/>
      <c r="S12" s="9"/>
      <c r="T12" s="4" t="s">
        <v>25</v>
      </c>
    </row>
    <row r="13" spans="2:20">
      <c r="J13" s="7" t="s">
        <v>16</v>
      </c>
      <c r="K13" s="7"/>
      <c r="L13" s="7">
        <v>2400000</v>
      </c>
      <c r="M13" s="1"/>
      <c r="N13" s="1"/>
      <c r="O13" s="1"/>
    </row>
    <row r="14" spans="2:20">
      <c r="J14" s="8" t="s">
        <v>15</v>
      </c>
      <c r="K14" s="8"/>
      <c r="L14" s="8">
        <v>1100000</v>
      </c>
      <c r="M14" s="1"/>
      <c r="N14" s="1"/>
      <c r="O14" s="1"/>
      <c r="S14" s="10"/>
      <c r="T14" s="4" t="s">
        <v>26</v>
      </c>
    </row>
    <row r="15" spans="2:20">
      <c r="J15" s="3"/>
      <c r="K15" s="3"/>
      <c r="L15" s="3">
        <f>L13-L14</f>
        <v>1300000</v>
      </c>
      <c r="M15" s="1"/>
      <c r="N15" s="1"/>
      <c r="O15" s="1"/>
    </row>
    <row r="16" spans="2:20">
      <c r="S16" s="2" t="s">
        <v>24</v>
      </c>
      <c r="T16" s="4" t="s">
        <v>27</v>
      </c>
    </row>
    <row r="17" spans="5:18">
      <c r="K17" s="13" t="s">
        <v>5</v>
      </c>
      <c r="L17" s="14"/>
      <c r="M17" s="14"/>
      <c r="N17">
        <v>1000000</v>
      </c>
    </row>
    <row r="18" spans="5:18">
      <c r="J18" s="4" t="s">
        <v>17</v>
      </c>
      <c r="K18">
        <v>200000</v>
      </c>
      <c r="N18">
        <f>N17-(K18+K20+K21+K22+K23)</f>
        <v>138730</v>
      </c>
      <c r="P18">
        <v>176000</v>
      </c>
      <c r="Q18">
        <v>4500</v>
      </c>
    </row>
    <row r="19" spans="5:18">
      <c r="E19">
        <v>550000</v>
      </c>
      <c r="J19" s="4" t="s">
        <v>18</v>
      </c>
      <c r="L19">
        <v>100000</v>
      </c>
      <c r="Q19">
        <v>2700</v>
      </c>
    </row>
    <row r="20" spans="5:18">
      <c r="E20">
        <v>88000</v>
      </c>
      <c r="J20" s="15" t="s">
        <v>28</v>
      </c>
      <c r="K20">
        <v>100000</v>
      </c>
      <c r="Q20">
        <v>70000</v>
      </c>
    </row>
    <row r="21" spans="5:18">
      <c r="F21">
        <f>E19/E20</f>
        <v>6.25</v>
      </c>
      <c r="J21" s="4" t="s">
        <v>13</v>
      </c>
      <c r="K21">
        <v>360000</v>
      </c>
      <c r="P21">
        <f>SUM(P18:P20)</f>
        <v>176000</v>
      </c>
      <c r="Q21">
        <f>SUM(Q18:Q20)</f>
        <v>77200</v>
      </c>
      <c r="R21">
        <f>P21+Q21</f>
        <v>253200</v>
      </c>
    </row>
    <row r="22" spans="5:18">
      <c r="J22" s="16" t="s">
        <v>23</v>
      </c>
      <c r="K22" s="17">
        <v>100000</v>
      </c>
      <c r="R22">
        <v>240000</v>
      </c>
    </row>
    <row r="23" spans="5:18">
      <c r="J23" s="15" t="s">
        <v>29</v>
      </c>
      <c r="K23">
        <f>T9</f>
        <v>101270</v>
      </c>
      <c r="R23">
        <f>R21-R22</f>
        <v>13200</v>
      </c>
    </row>
  </sheetData>
  <mergeCells count="3">
    <mergeCell ref="K2:M2"/>
    <mergeCell ref="K10:M10"/>
    <mergeCell ref="K17:M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SOMU</dc:creator>
  <cp:lastModifiedBy>SOMU</cp:lastModifiedBy>
  <dcterms:created xsi:type="dcterms:W3CDTF">2025-07-21T09:59:00Z</dcterms:created>
  <dcterms:modified xsi:type="dcterms:W3CDTF">2025-12-29T13:50:37Z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E59719EF18CE451FA73CCC1C078BCA60_12</vt:lpwstr>
  </property>
  <property fmtid="{D5CDD505-2E9C-101B-9397-08002B2CF9AE}" pid="3" name="KSOProductBuildVer">
    <vt:lpwstr>1033-12.2.0.23196</vt:lpwstr>
  </property>
</Properties>
</file>